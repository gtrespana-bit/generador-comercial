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18855" windowHeight="11985"/>
  </bookViews>
  <sheets>
    <sheet name="Hoja 1" sheetId="1" r:id="rId1"/>
  </sheets>
  <calcPr calcId="124519"/>
</workbook>
</file>

<file path=xl/sharedStrings.xml><?xml version="1.0" encoding="utf-8"?>
<sst xmlns="http://schemas.openxmlformats.org/spreadsheetml/2006/main" count="52" uniqueCount="52">
  <si>
    <t xml:space="preserve"/>
  </si>
  <si>
    <t xml:space="preserve">RBA010</t>
  </si>
  <si>
    <t xml:space="preserve">m²</t>
  </si>
  <si>
    <t xml:space="preserve">Capa de mortero de cal sobre paramento exterior.</t>
  </si>
  <si>
    <r>
      <rPr>
        <sz val="8.25"/>
        <color rgb="FF000000"/>
        <rFont val="Arial"/>
        <family val="2"/>
      </rPr>
      <t xml:space="preserve">Capa de mortero de cal, tipo GP CSIII W1, según UNE-EN 998-1, color gris, de 15 mm de espesor, maestreado, con acabado fratasado, aplicado mecánicamente, sobre paramento exterior de fábrica cerámica, vertical. Incluso junquillos de PVC, para formación de juntas y malla de fibra de vidrio antiálcalis en los cambios de material y en los frentes de forjado, para evitar fisuras. El precio incluye la protección de los elementos del entorno que puedan verse afectados durante los trabajos y la resolución de puntos singulares.</t>
    </r>
    <r>
      <rPr>
        <sz val="8.25"/>
        <color rgb="FF000000"/>
        <rFont val="Arial"/>
        <family val="2"/>
      </rPr>
      <t xml:space="preserve">
</t>
    </r>
  </si>
  <si>
    <t xml:space="preserve">Código</t>
  </si>
  <si>
    <t xml:space="preserve">Unidad</t>
  </si>
  <si>
    <t xml:space="preserve">Descripción</t>
  </si>
  <si>
    <t xml:space="preserve">Rendimiento</t>
  </si>
  <si>
    <r>
      <rPr>
        <b/>
        <sz val="8.25"/>
        <color rgb="FF000000"/>
        <rFont val="Arial"/>
        <family val="2"/>
      </rPr>
      <t xml:space="preserve">Precio</t>
    </r>
    <r>
      <rPr>
        <b/>
        <sz val="8.25"/>
        <color rgb="FF000000"/>
        <rFont val="Arial"/>
        <family val="2"/>
      </rPr>
      <t xml:space="preserve">
</t>
    </r>
    <r>
      <rPr>
        <b/>
        <sz val="8.25"/>
        <color rgb="FF000000"/>
        <rFont val="Arial"/>
        <family val="2"/>
      </rPr>
      <t xml:space="preserve">unitario</t>
    </r>
  </si>
  <si>
    <t xml:space="preserve">Importe</t>
  </si>
  <si>
    <t xml:space="preserve">Materiales</t>
  </si>
  <si>
    <t xml:space="preserve">mt08aaa010a</t>
  </si>
  <si>
    <t xml:space="preserve">m³</t>
  </si>
  <si>
    <t xml:space="preserve">Agua.</t>
  </si>
  <si>
    <t xml:space="preserve">mt28mim020a</t>
  </si>
  <si>
    <t xml:space="preserve">kg</t>
  </si>
  <si>
    <t xml:space="preserve">Mortero de cal, tipo GP CSIII W1, según UNE-EN 998-1, para uso en interiores o en exteriores, color gris, compuesto por cal aérea, aglomerantes hidráulicos, áridos seleccionados y aditivos orgánicos e inorgánicos, para aplicar mediante proyección mecánica, suministrado en sacos.</t>
  </si>
  <si>
    <t xml:space="preserve">mt28mon040a</t>
  </si>
  <si>
    <t xml:space="preserve">m²</t>
  </si>
  <si>
    <t xml:space="preserve">Malla de fibra de vidrio, antiálcalis, de 10x10 mm de luz de malla, de 750 a 900 micras de espesor y de 200 a 250 g/m² de masa superficial, con 25 kp/cm² de resistencia a tracción, para armar morteros.</t>
  </si>
  <si>
    <t xml:space="preserve">mt28mon030</t>
  </si>
  <si>
    <t xml:space="preserve">m</t>
  </si>
  <si>
    <t xml:space="preserve">Junquillo de PVC.</t>
  </si>
  <si>
    <t xml:space="preserve">Subtotal materiales:</t>
  </si>
  <si>
    <t xml:space="preserve">Equipo y maquinaria</t>
  </si>
  <si>
    <t xml:space="preserve">mq06pym010</t>
  </si>
  <si>
    <t xml:space="preserve">h</t>
  </si>
  <si>
    <t xml:space="preserve">Mezcladora-bombeadora para morteros y yesos proyectados, de 3 m³/h.</t>
  </si>
  <si>
    <t xml:space="preserve">Subtotal equipo y maquinaria:</t>
  </si>
  <si>
    <t xml:space="preserve">Mano de obra</t>
  </si>
  <si>
    <t xml:space="preserve">mo039</t>
  </si>
  <si>
    <t xml:space="preserve">h</t>
  </si>
  <si>
    <t xml:space="preserve">Oficial 1ª revocador.</t>
  </si>
  <si>
    <t xml:space="preserve">mo111</t>
  </si>
  <si>
    <t xml:space="preserve">h</t>
  </si>
  <si>
    <t xml:space="preserve">Peón especializado revocador.</t>
  </si>
  <si>
    <t xml:space="preserve">Subtotal mano de obra:</t>
  </si>
  <si>
    <t xml:space="preserve">Costes directos complementarios</t>
  </si>
  <si>
    <t xml:space="preserve">%</t>
  </si>
  <si>
    <t xml:space="preserve">Costes directos complementarios</t>
  </si>
  <si>
    <t xml:space="preserve">Coste de mantenimiento decenal: 1,37€ en los primeros 10 años.</t>
  </si>
  <si>
    <r>
      <rPr>
        <b/>
        <sz val="8.25"/>
        <color rgb="FF000000"/>
        <rFont val="Arial"/>
        <family val="2"/>
      </rPr>
      <t xml:space="preserve">Costes directos</t>
    </r>
    <r>
      <rPr>
        <sz val="8.25"/>
        <color rgb="FF000000"/>
        <rFont val="Arial"/>
        <family val="2"/>
      </rPr>
      <t xml:space="preserve"> </t>
    </r>
    <r>
      <rPr>
        <sz val="8.25"/>
        <color rgb="FF000000"/>
        <rFont val="Arial"/>
        <family val="2"/>
      </rPr>
      <t xml:space="preserve">(1+2+3+4)</t>
    </r>
    <r>
      <rPr>
        <sz val="8.25"/>
        <color rgb="FF000000"/>
        <rFont val="Arial"/>
        <family val="2"/>
      </rPr>
      <t xml:space="preserve">:</t>
    </r>
  </si>
  <si>
    <t xml:space="preserve">Referencia y título de la norma</t>
  </si>
  <si>
    <r>
      <rPr>
        <sz val="8.25"/>
        <color rgb="FF000000"/>
        <rFont val="Arial"/>
        <family val="2"/>
      </rPr>
      <t xml:space="preserve">Aplicabilidad</t>
    </r>
    <r>
      <rPr>
        <sz val="8.25"/>
        <color rgb="FF000000"/>
        <rFont val="Arial"/>
        <family val="2"/>
      </rPr>
      <t xml:space="preserve">(a)</t>
    </r>
  </si>
  <si>
    <r>
      <rPr>
        <sz val="8.25"/>
        <color rgb="FF000000"/>
        <rFont val="Arial"/>
        <family val="2"/>
      </rPr>
      <t xml:space="preserve">Obligatoriedad</t>
    </r>
    <r>
      <rPr>
        <sz val="8.25"/>
        <color rgb="FF000000"/>
        <rFont val="Arial"/>
        <family val="2"/>
      </rPr>
      <t xml:space="preserve">(b)</t>
    </r>
  </si>
  <si>
    <r>
      <rPr>
        <sz val="8.25"/>
        <color rgb="FF000000"/>
        <rFont val="Arial"/>
        <family val="2"/>
      </rPr>
      <t xml:space="preserve">Sistema</t>
    </r>
    <r>
      <rPr>
        <sz val="8.25"/>
        <color rgb="FF000000"/>
        <rFont val="Arial"/>
        <family val="2"/>
      </rPr>
      <t xml:space="preserve">(c)</t>
    </r>
  </si>
  <si>
    <t xml:space="preserve">EN  998-1:2016</t>
  </si>
  <si>
    <t xml:space="preserve">Especificaciones de los morteros para albañilería. Parte 1: Morteros para revoco y enlucido.</t>
  </si>
  <si>
    <r>
      <rPr>
        <sz val="8.25"/>
        <color rgb="FF000000"/>
        <rFont val="Arial"/>
        <family val="2"/>
      </rPr>
      <t xml:space="preserve">(a)</t>
    </r>
    <r>
      <rPr>
        <sz val="8.25"/>
        <color rgb="FF000000"/>
        <rFont val="Arial"/>
        <family val="2"/>
      </rPr>
      <t xml:space="preserve"> </t>
    </r>
    <r>
      <rPr>
        <sz val="8.25"/>
        <color rgb="FF000000"/>
        <rFont val="Arial"/>
        <family val="2"/>
      </rPr>
      <t xml:space="preserve">Fecha de aplicabilidad de la norma armonizada</t>
    </r>
  </si>
  <si>
    <r>
      <rPr>
        <sz val="8.25"/>
        <color rgb="FF000000"/>
        <rFont val="Arial"/>
        <family val="2"/>
      </rPr>
      <t xml:space="preserve">(b)</t>
    </r>
    <r>
      <rPr>
        <sz val="8.25"/>
        <color rgb="FF000000"/>
        <rFont val="Arial"/>
        <family val="2"/>
      </rPr>
      <t xml:space="preserve"> </t>
    </r>
    <r>
      <rPr>
        <sz val="8.25"/>
        <color rgb="FF000000"/>
        <rFont val="Arial"/>
        <family val="2"/>
      </rPr>
      <t xml:space="preserve">Fecha en que finaliza el período de coexistencia</t>
    </r>
  </si>
  <si>
    <r>
      <rPr>
        <sz val="8.25"/>
        <color rgb="FF000000"/>
        <rFont val="Arial"/>
        <family val="2"/>
      </rPr>
      <t xml:space="preserve">(c)</t>
    </r>
    <r>
      <rPr>
        <sz val="8.25"/>
        <color rgb="FF000000"/>
        <rFont val="Arial"/>
        <family val="2"/>
      </rPr>
      <t xml:space="preserve"> </t>
    </r>
    <r>
      <rPr>
        <sz val="8.25"/>
        <color rgb="FF000000"/>
        <rFont val="Arial"/>
        <family val="2"/>
      </rPr>
      <t xml:space="preserve">Sistema de evaluación y verificación de la constancia de las prestaciones</t>
    </r>
  </si>
</sst>
</file>

<file path=xl/styles.xml><?xml version="1.0" encoding="utf-8"?>
<styleSheet xmlns="http://schemas.openxmlformats.org/spreadsheetml/2006/main">
  <numFmts count="2">
    <numFmt numFmtId="200" formatCode="0.000"/>
    <numFmt numFmtId="201" formatCode="0.00"/>
  </numFmts>
  <fonts count="2">
    <font>
      <sz val="8.25"/>
      <color rgb="FF000000"/>
      <name val="Arial"/>
      <family val="2"/>
    </font>
    <font>
      <b/>
      <sz val="8.2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>
      <alignment horizontal="left" vertical="center" wrapText="0"/>
    </xf>
    <xf numFmtId="0" fontId="0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Font="1" applyAlignment="1">
      <alignment horizontal="justify" vertical="top" wrapText="1"/>
    </xf>
    <xf numFmtId="0" fontId="0" fillId="0" borderId="1" xfId="0" applyFont="1" applyAlignment="1">
      <alignment horizontal="left" vertical="top" wrapText="1"/>
    </xf>
    <xf numFmtId="0" fontId="0" fillId="0" borderId="2" xfId="0" applyFont="1" applyAlignment="1">
      <alignment horizontal="center" vertical="bottom" wrapText="1"/>
    </xf>
    <xf numFmtId="0" fontId="0" fillId="0" borderId="2" xfId="0" applyFont="1" applyAlignment="1">
      <alignment horizontal="right" vertical="bottom" wrapText="1"/>
    </xf>
    <xf numFmtId="0" fontId="0" fillId="0" borderId="3" xfId="0" applyFont="1" applyAlignment="1">
      <alignment horizontal="center" vertical="center" wrapText="1"/>
    </xf>
    <xf numFmtId="0" fontId="0" fillId="0" borderId="3" xfId="0" applyFont="1" applyAlignment="1">
      <alignment horizontal="left" vertical="center" wrapText="1"/>
    </xf>
    <xf numFmtId="0" fontId="0" fillId="0" borderId="0" xfId="0" applyFont="1" applyAlignment="1">
      <alignment horizontal="center" vertical="top" wrapText="1"/>
    </xf>
    <xf numFmtId="200" fontId="0" fillId="0" borderId="0" xfId="0" applyFont="1" applyAlignment="1">
      <alignment horizontal="right" vertical="top" wrapText="1"/>
    </xf>
    <xf numFmtId="201" fontId="0" fillId="0" borderId="0" xfId="0" applyFont="1" applyAlignment="1">
      <alignment horizontal="right" vertical="top" wrapText="1"/>
    </xf>
    <xf numFmtId="200" fontId="0" fillId="0" borderId="2" xfId="0" applyFont="1" applyAlignment="1">
      <alignment horizontal="right" vertical="top" wrapText="1"/>
    </xf>
    <xf numFmtId="201" fontId="0" fillId="0" borderId="2" xfId="0" applyFont="1" applyAlignment="1">
      <alignment horizontal="right" vertical="top" wrapText="1"/>
    </xf>
    <xf numFmtId="0" fontId="0" fillId="0" borderId="0" xfId="0" applyFont="1" applyAlignment="1">
      <alignment horizontal="center" vertical="center" wrapText="1"/>
    </xf>
    <xf numFmtId="201" fontId="1" fillId="0" borderId="0" xfId="0" applyFont="1" applyAlignment="1">
      <alignment horizontal="right" vertical="top" wrapText="1"/>
    </xf>
    <xf numFmtId="201" fontId="1" fillId="0" borderId="3" xfId="0" applyFont="1" applyAlignment="1">
      <alignment horizontal="right" vertical="top" wrapText="1"/>
    </xf>
    <xf numFmtId="0" fontId="0" fillId="0" borderId="0" xfId="0" applyFont="1" applyAlignment="1">
      <alignment horizontal="left" vertical="center" wrapText="1"/>
    </xf>
    <xf numFmtId="0" fontId="0" fillId="0" borderId="2" xfId="0" applyFont="1" applyAlignment="1">
      <alignment horizontal="left" vertical="top" wrapText="1"/>
    </xf>
    <xf numFmtId="0" fontId="0" fillId="0" borderId="2" xfId="0" applyFont="1" applyAlignment="1">
      <alignment horizontal="center" vertical="top" wrapText="1"/>
    </xf>
    <xf numFmtId="0" fontId="0" fillId="0" borderId="4" xfId="0" applyFont="1" applyAlignment="1">
      <alignment horizontal="left" vertical="top" wrapText="1"/>
    </xf>
    <xf numFmtId="0" fontId="0" fillId="0" borderId="5" xfId="0" applyFont="1" applyAlignment="1">
      <alignment horizontal="left" vertical="top" wrapText="1"/>
    </xf>
    <xf numFmtId="0" fontId="0" fillId="0" borderId="6" xfId="0" applyFont="1" applyAlignment="1">
      <alignment horizontal="left" vertical="top" wrapText="1"/>
    </xf>
    <xf numFmtId="0" fontId="0" fillId="0" borderId="7" xfId="0" applyFont="1" applyAlignment="1">
      <alignment horizontal="right" vertical="center" wrapText="1"/>
    </xf>
    <xf numFmtId="0" fontId="0" fillId="0" borderId="3" xfId="0" applyFont="1" applyAlignment="1">
      <alignment horizontal="right" vertical="center" wrapText="1"/>
    </xf>
    <xf numFmtId="201" fontId="0" fillId="0" borderId="3" xfId="0" applyFont="1" applyAlignment="1">
      <alignment horizontal="right" vertical="top" wrapText="1"/>
    </xf>
    <xf numFmtId="0" fontId="0" fillId="0" borderId="1" xfId="0" applyFont="1" applyAlignment="1">
      <alignment horizontal="center" vertical="center" wrapText="1"/>
    </xf>
    <xf numFmtId="0" fontId="0" fillId="0" borderId="8" xfId="0" applyFont="1" applyAlignment="1">
      <alignment horizontal="left" vertical="center" wrapText="1"/>
    </xf>
    <xf numFmtId="0" fontId="0" fillId="0" borderId="8" xfId="0" applyFont="1" applyAlignment="1">
      <alignment horizontal="center" vertical="center" wrapText="1"/>
    </xf>
    <xf numFmtId="0" fontId="0" fillId="0" borderId="9" xfId="0" applyFont="1" applyAlignment="1">
      <alignment horizontal="left" vertical="center" wrapText="1"/>
    </xf>
    <xf numFmtId="0" fontId="0" fillId="0" borderId="9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    <Relationship Id="rId3" Type="http://schemas.openxmlformats.org/officeDocument/2006/relationships/styles" Target="styles.xml"/>
    <Relationship Id="rId1" Type="http://schemas.openxmlformats.org/officeDocument/2006/relationships/worksheet" Target="worksheets/sheet1.xml"/>
    <Relationship Id="rId4" Type="http://schemas.openxmlformats.org/officeDocument/2006/relationships/sharedStrings" Target="sharedStrings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E200"/>
  <sheetViews>
    <sheetView tabSelected="1" view="pageLayout" workbookViewId="0">
      <selection activeCell="A1" sqref="A1"/>
    </sheetView>
  </sheetViews>
  <sheetFormatPr baseColWidth="10" defaultRowHeight="15"/>
  <cols>
    <col min="1" max="1" width="8.16" customWidth="1"/>
    <col min="2" max="2" width="4.59" customWidth="1"/>
    <col min="3" max="3" width="1.70" customWidth="1"/>
    <col min="4" max="4" width="5.95" customWidth="1"/>
    <col min="5" max="5" width="70.21" customWidth="1"/>
    <col min="6" max="6" width="1.53" customWidth="1"/>
    <col min="7" max="7" width="12.92" customWidth="1"/>
    <col min="8" max="8" width="2.21" customWidth="1"/>
    <col min="9" max="9" width="12.24" customWidth="1"/>
    <col min="10" max="10" width="9.01" customWidth="1"/>
  </cols>
  <sheetData>
    <row r="1" spans="1:1" ht="2.25" thickBot="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 ht="13.50" thickBot="1" customHeight="1">
      <c r="A3" s="2" t="s">
        <v>1</v>
      </c>
      <c r="B3" s="3" t="s">
        <v>2</v>
      </c>
      <c r="C3" s="3"/>
      <c r="D3" s="2" t="s">
        <v>3</v>
      </c>
      <c r="E3" s="2"/>
      <c r="F3" s="2"/>
      <c r="G3" s="2"/>
      <c r="H3" s="2"/>
      <c r="I3" s="2"/>
      <c r="J3" s="2"/>
    </row>
    <row r="5" spans="1:10" ht="55.50" thickBot="1" customHeight="1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8" spans="1:10" ht="24.00" thickBot="1" customHeight="1">
      <c r="A8" s="6" t="s">
        <v>5</v>
      </c>
      <c r="B8" s="6"/>
      <c r="C8" s="6" t="s">
        <v>6</v>
      </c>
      <c r="D8" s="6"/>
      <c r="E8" s="6" t="s">
        <v>7</v>
      </c>
      <c r="F8" s="7" t="s">
        <v>8</v>
      </c>
      <c r="G8" s="7"/>
      <c r="H8" s="7"/>
      <c r="I8" s="7" t="s">
        <v>9</v>
      </c>
      <c r="J8" s="7" t="s">
        <v>10</v>
      </c>
    </row>
    <row r="9" spans="1:10" ht="13.50" thickBot="1" customHeight="1">
      <c r="A9" s="8">
        <v>1</v>
      </c>
      <c r="B9" s="8"/>
      <c r="C9" s="8"/>
      <c r="D9" s="8"/>
      <c r="E9" s="9" t="s">
        <v>11</v>
      </c>
      <c r="F9" s="9"/>
      <c r="G9" s="9"/>
      <c r="H9" s="9"/>
      <c r="I9" s="8"/>
      <c r="J9" s="8"/>
    </row>
    <row r="10" spans="1:10" ht="13.50" thickBot="1" customHeight="1">
      <c r="A10" s="1" t="s">
        <v>12</v>
      </c>
      <c r="B10" s="1"/>
      <c r="C10" s="10" t="s">
        <v>13</v>
      </c>
      <c r="D10" s="10"/>
      <c r="E10" s="1" t="s">
        <v>14</v>
      </c>
      <c r="F10" s="11">
        <v>0.005</v>
      </c>
      <c r="G10" s="11"/>
      <c r="H10" s="11"/>
      <c r="I10" s="12">
        <v>1.5</v>
      </c>
      <c r="J10" s="12">
        <f ca="1">ROUND(INDIRECT(ADDRESS(ROW()+(0), COLUMN()+(-4), 1))*INDIRECT(ADDRESS(ROW()+(0), COLUMN()+(-1), 1)), 2)</f>
        <v>0.01</v>
      </c>
    </row>
    <row r="11" spans="1:10" ht="45.00" thickBot="1" customHeight="1">
      <c r="A11" s="1" t="s">
        <v>15</v>
      </c>
      <c r="B11" s="1"/>
      <c r="C11" s="10" t="s">
        <v>16</v>
      </c>
      <c r="D11" s="10"/>
      <c r="E11" s="1" t="s">
        <v>17</v>
      </c>
      <c r="F11" s="11">
        <v>18.75</v>
      </c>
      <c r="G11" s="11"/>
      <c r="H11" s="11"/>
      <c r="I11" s="12">
        <v>0.34</v>
      </c>
      <c r="J11" s="12">
        <f ca="1">ROUND(INDIRECT(ADDRESS(ROW()+(0), COLUMN()+(-4), 1))*INDIRECT(ADDRESS(ROW()+(0), COLUMN()+(-1), 1)), 2)</f>
        <v>6.38</v>
      </c>
    </row>
    <row r="12" spans="1:10" ht="34.50" thickBot="1" customHeight="1">
      <c r="A12" s="1" t="s">
        <v>18</v>
      </c>
      <c r="B12" s="1"/>
      <c r="C12" s="10" t="s">
        <v>19</v>
      </c>
      <c r="D12" s="10"/>
      <c r="E12" s="1" t="s">
        <v>20</v>
      </c>
      <c r="F12" s="11">
        <v>0.21</v>
      </c>
      <c r="G12" s="11"/>
      <c r="H12" s="11"/>
      <c r="I12" s="12">
        <v>2.41</v>
      </c>
      <c r="J12" s="12">
        <f ca="1">ROUND(INDIRECT(ADDRESS(ROW()+(0), COLUMN()+(-4), 1))*INDIRECT(ADDRESS(ROW()+(0), COLUMN()+(-1), 1)), 2)</f>
        <v>0.51</v>
      </c>
    </row>
    <row r="13" spans="1:10" ht="13.50" thickBot="1" customHeight="1">
      <c r="A13" s="1" t="s">
        <v>21</v>
      </c>
      <c r="B13" s="1"/>
      <c r="C13" s="10" t="s">
        <v>22</v>
      </c>
      <c r="D13" s="10"/>
      <c r="E13" s="1" t="s">
        <v>23</v>
      </c>
      <c r="F13" s="13">
        <v>0.75</v>
      </c>
      <c r="G13" s="13"/>
      <c r="H13" s="13"/>
      <c r="I13" s="14">
        <v>0.35</v>
      </c>
      <c r="J13" s="14">
        <f ca="1">ROUND(INDIRECT(ADDRESS(ROW()+(0), COLUMN()+(-4), 1))*INDIRECT(ADDRESS(ROW()+(0), COLUMN()+(-1), 1)), 2)</f>
        <v>0.26</v>
      </c>
    </row>
    <row r="14" spans="1:10" ht="13.50" thickBot="1" customHeight="1">
      <c r="A14" s="15"/>
      <c r="B14" s="15"/>
      <c r="C14" s="15"/>
      <c r="D14" s="15"/>
      <c r="E14" s="15"/>
      <c r="F14" s="9" t="s">
        <v>24</v>
      </c>
      <c r="G14" s="9"/>
      <c r="H14" s="9"/>
      <c r="I14" s="9"/>
      <c r="J14" s="17">
        <f ca="1">ROUND(SUM(INDIRECT(ADDRESS(ROW()+(-1), COLUMN()+(0), 1)),INDIRECT(ADDRESS(ROW()+(-2), COLUMN()+(0), 1)),INDIRECT(ADDRESS(ROW()+(-3), COLUMN()+(0), 1)),INDIRECT(ADDRESS(ROW()+(-4), COLUMN()+(0), 1))), 2)</f>
        <v>7.16</v>
      </c>
    </row>
    <row r="15" spans="1:10" ht="13.50" thickBot="1" customHeight="1">
      <c r="A15" s="15">
        <v>2</v>
      </c>
      <c r="B15" s="15"/>
      <c r="C15" s="15"/>
      <c r="D15" s="15"/>
      <c r="E15" s="18" t="s">
        <v>25</v>
      </c>
      <c r="F15" s="18"/>
      <c r="G15" s="18"/>
      <c r="H15" s="18"/>
      <c r="I15" s="15"/>
      <c r="J15" s="15"/>
    </row>
    <row r="16" spans="1:10" ht="13.50" thickBot="1" customHeight="1">
      <c r="A16" s="1" t="s">
        <v>26</v>
      </c>
      <c r="B16" s="1"/>
      <c r="C16" s="10" t="s">
        <v>27</v>
      </c>
      <c r="D16" s="10"/>
      <c r="E16" s="1" t="s">
        <v>28</v>
      </c>
      <c r="F16" s="13">
        <v>0.23</v>
      </c>
      <c r="G16" s="13"/>
      <c r="H16" s="13"/>
      <c r="I16" s="14">
        <v>8.52</v>
      </c>
      <c r="J16" s="14">
        <f ca="1">ROUND(INDIRECT(ADDRESS(ROW()+(0), COLUMN()+(-4), 1))*INDIRECT(ADDRESS(ROW()+(0), COLUMN()+(-1), 1)), 2)</f>
        <v>1.96</v>
      </c>
    </row>
    <row r="17" spans="1:10" ht="13.50" thickBot="1" customHeight="1">
      <c r="A17" s="15"/>
      <c r="B17" s="15"/>
      <c r="C17" s="15"/>
      <c r="D17" s="15"/>
      <c r="E17" s="15"/>
      <c r="F17" s="9" t="s">
        <v>29</v>
      </c>
      <c r="G17" s="9"/>
      <c r="H17" s="9"/>
      <c r="I17" s="9"/>
      <c r="J17" s="17">
        <f ca="1">ROUND(SUM(INDIRECT(ADDRESS(ROW()+(-1), COLUMN()+(0), 1))), 2)</f>
        <v>1.96</v>
      </c>
    </row>
    <row r="18" spans="1:10" ht="13.50" thickBot="1" customHeight="1">
      <c r="A18" s="15">
        <v>3</v>
      </c>
      <c r="B18" s="15"/>
      <c r="C18" s="15"/>
      <c r="D18" s="15"/>
      <c r="E18" s="18" t="s">
        <v>30</v>
      </c>
      <c r="F18" s="18"/>
      <c r="G18" s="18"/>
      <c r="H18" s="18"/>
      <c r="I18" s="15"/>
      <c r="J18" s="15"/>
    </row>
    <row r="19" spans="1:10" ht="13.50" thickBot="1" customHeight="1">
      <c r="A19" s="1" t="s">
        <v>31</v>
      </c>
      <c r="B19" s="1"/>
      <c r="C19" s="10" t="s">
        <v>32</v>
      </c>
      <c r="D19" s="10"/>
      <c r="E19" s="1" t="s">
        <v>33</v>
      </c>
      <c r="F19" s="11">
        <v>0.44</v>
      </c>
      <c r="G19" s="11"/>
      <c r="H19" s="11"/>
      <c r="I19" s="12">
        <v>24.41</v>
      </c>
      <c r="J19" s="12">
        <f ca="1">ROUND(INDIRECT(ADDRESS(ROW()+(0), COLUMN()+(-4), 1))*INDIRECT(ADDRESS(ROW()+(0), COLUMN()+(-1), 1)), 2)</f>
        <v>10.74</v>
      </c>
    </row>
    <row r="20" spans="1:10" ht="13.50" thickBot="1" customHeight="1">
      <c r="A20" s="1" t="s">
        <v>34</v>
      </c>
      <c r="B20" s="1"/>
      <c r="C20" s="10" t="s">
        <v>35</v>
      </c>
      <c r="D20" s="10"/>
      <c r="E20" s="1" t="s">
        <v>36</v>
      </c>
      <c r="F20" s="13">
        <v>0.227</v>
      </c>
      <c r="G20" s="13"/>
      <c r="H20" s="13"/>
      <c r="I20" s="14">
        <v>23.91</v>
      </c>
      <c r="J20" s="14">
        <f ca="1">ROUND(INDIRECT(ADDRESS(ROW()+(0), COLUMN()+(-4), 1))*INDIRECT(ADDRESS(ROW()+(0), COLUMN()+(-1), 1)), 2)</f>
        <v>5.43</v>
      </c>
    </row>
    <row r="21" spans="1:10" ht="13.50" thickBot="1" customHeight="1">
      <c r="A21" s="15"/>
      <c r="B21" s="15"/>
      <c r="C21" s="15"/>
      <c r="D21" s="15"/>
      <c r="E21" s="15"/>
      <c r="F21" s="9" t="s">
        <v>37</v>
      </c>
      <c r="G21" s="9"/>
      <c r="H21" s="9"/>
      <c r="I21" s="9"/>
      <c r="J21" s="17">
        <f ca="1">ROUND(SUM(INDIRECT(ADDRESS(ROW()+(-1), COLUMN()+(0), 1)),INDIRECT(ADDRESS(ROW()+(-2), COLUMN()+(0), 1))), 2)</f>
        <v>16.17</v>
      </c>
    </row>
    <row r="22" spans="1:10" ht="13.50" thickBot="1" customHeight="1">
      <c r="A22" s="15">
        <v>4</v>
      </c>
      <c r="B22" s="15"/>
      <c r="C22" s="15"/>
      <c r="D22" s="15"/>
      <c r="E22" s="18" t="s">
        <v>38</v>
      </c>
      <c r="F22" s="18"/>
      <c r="G22" s="18"/>
      <c r="H22" s="18"/>
      <c r="I22" s="15"/>
      <c r="J22" s="15"/>
    </row>
    <row r="23" spans="1:10" ht="13.50" thickBot="1" customHeight="1">
      <c r="A23" s="19"/>
      <c r="B23" s="19"/>
      <c r="C23" s="20" t="s">
        <v>39</v>
      </c>
      <c r="D23" s="20"/>
      <c r="E23" s="19" t="s">
        <v>40</v>
      </c>
      <c r="F23" s="13">
        <v>2</v>
      </c>
      <c r="G23" s="13"/>
      <c r="H23" s="13"/>
      <c r="I23" s="14">
        <f ca="1">ROUND(SUM(INDIRECT(ADDRESS(ROW()+(-2), COLUMN()+(1), 1)),INDIRECT(ADDRESS(ROW()+(-6), COLUMN()+(1), 1)),INDIRECT(ADDRESS(ROW()+(-9), COLUMN()+(1), 1))), 2)</f>
        <v>25.29</v>
      </c>
      <c r="J23" s="14">
        <f ca="1">ROUND(INDIRECT(ADDRESS(ROW()+(0), COLUMN()+(-4), 1))*INDIRECT(ADDRESS(ROW()+(0), COLUMN()+(-1), 1))/100, 2)</f>
        <v>0.51</v>
      </c>
    </row>
    <row r="24" spans="1:10" ht="13.50" thickBot="1" customHeight="1">
      <c r="A24" s="21" t="s">
        <v>41</v>
      </c>
      <c r="B24" s="21"/>
      <c r="C24" s="22"/>
      <c r="D24" s="22"/>
      <c r="E24" s="23"/>
      <c r="F24" s="24" t="s">
        <v>42</v>
      </c>
      <c r="G24" s="24"/>
      <c r="H24" s="24"/>
      <c r="I24" s="25"/>
      <c r="J24" s="26">
        <f ca="1">ROUND(SUM(INDIRECT(ADDRESS(ROW()+(-1), COLUMN()+(0), 1)),INDIRECT(ADDRESS(ROW()+(-3), COLUMN()+(0), 1)),INDIRECT(ADDRESS(ROW()+(-7), COLUMN()+(0), 1)),INDIRECT(ADDRESS(ROW()+(-10), COLUMN()+(0), 1))), 2)</f>
        <v>25.8</v>
      </c>
    </row>
    <row r="27" spans="1:10" ht="13.50" thickBot="1" customHeight="1">
      <c r="A27" s="27" t="s">
        <v>43</v>
      </c>
      <c r="B27" s="27"/>
      <c r="C27" s="27"/>
      <c r="D27" s="27"/>
      <c r="E27" s="27"/>
      <c r="F27" s="27"/>
      <c r="G27" s="27" t="s">
        <v>44</v>
      </c>
      <c r="H27" s="27" t="s">
        <v>45</v>
      </c>
      <c r="I27" s="27"/>
      <c r="J27" s="27" t="s">
        <v>46</v>
      </c>
    </row>
    <row r="28" spans="1:10" ht="13.50" thickBot="1" customHeight="1">
      <c r="A28" s="28" t="s">
        <v>47</v>
      </c>
      <c r="B28" s="28"/>
      <c r="C28" s="28"/>
      <c r="D28" s="28"/>
      <c r="E28" s="28"/>
      <c r="F28" s="28"/>
      <c r="G28" s="29">
        <v>1.18202e+06</v>
      </c>
      <c r="H28" s="29">
        <v>1.18202e+06</v>
      </c>
      <c r="I28" s="29"/>
      <c r="J28" s="29">
        <v>4</v>
      </c>
    </row>
    <row r="29" spans="1:10" ht="13.50" thickBot="1" customHeight="1">
      <c r="A29" s="30" t="s">
        <v>48</v>
      </c>
      <c r="B29" s="30"/>
      <c r="C29" s="30"/>
      <c r="D29" s="30"/>
      <c r="E29" s="30"/>
      <c r="F29" s="30"/>
      <c r="G29" s="31"/>
      <c r="H29" s="31"/>
      <c r="I29" s="31"/>
      <c r="J29" s="31"/>
    </row>
    <row r="32" spans="1:1" ht="33.75" thickBot="1" customHeight="1">
      <c r="A32" s="1" t="s">
        <v>49</v>
      </c>
      <c r="B32" s="1"/>
      <c r="C32" s="1"/>
      <c r="D32" s="1"/>
      <c r="E32" s="1"/>
      <c r="F32" s="1"/>
      <c r="G32" s="1"/>
      <c r="H32" s="1"/>
      <c r="I32" s="1"/>
      <c r="J32" s="1"/>
    </row>
    <row r="33" spans="1:1" ht="33.75" thickBot="1" customHeight="1">
      <c r="A33" s="1" t="s">
        <v>50</v>
      </c>
      <c r="B33" s="1"/>
      <c r="C33" s="1"/>
      <c r="D33" s="1"/>
      <c r="E33" s="1"/>
      <c r="F33" s="1"/>
      <c r="G33" s="1"/>
      <c r="H33" s="1"/>
      <c r="I33" s="1"/>
      <c r="J33" s="1"/>
    </row>
    <row r="34" spans="1:1" ht="33.75" thickBot="1" customHeight="1">
      <c r="A34" s="1" t="s">
        <v>51</v>
      </c>
      <c r="B34" s="1"/>
      <c r="C34" s="1"/>
      <c r="D34" s="1"/>
      <c r="E34" s="1"/>
      <c r="F34" s="1"/>
      <c r="G34" s="1"/>
      <c r="H34" s="1"/>
      <c r="I34" s="1"/>
      <c r="J34" s="1"/>
    </row>
  </sheetData>
  <mergeCells count="64">
    <mergeCell ref="A1:J1"/>
    <mergeCell ref="B3:C3"/>
    <mergeCell ref="D3:J3"/>
    <mergeCell ref="A5:J5"/>
    <mergeCell ref="A8:B8"/>
    <mergeCell ref="C8:D8"/>
    <mergeCell ref="F8:H8"/>
    <mergeCell ref="A9:B9"/>
    <mergeCell ref="C9:D9"/>
    <mergeCell ref="E9:H9"/>
    <mergeCell ref="A10:B10"/>
    <mergeCell ref="C10:D10"/>
    <mergeCell ref="F10:H10"/>
    <mergeCell ref="A11:B11"/>
    <mergeCell ref="C11:D11"/>
    <mergeCell ref="F11:H11"/>
    <mergeCell ref="A12:B12"/>
    <mergeCell ref="C12:D12"/>
    <mergeCell ref="F12:H12"/>
    <mergeCell ref="A13:B13"/>
    <mergeCell ref="C13:D13"/>
    <mergeCell ref="F13:H13"/>
    <mergeCell ref="A14:B14"/>
    <mergeCell ref="C14:D14"/>
    <mergeCell ref="F14:I14"/>
    <mergeCell ref="A15:B15"/>
    <mergeCell ref="C15:D15"/>
    <mergeCell ref="E15:H15"/>
    <mergeCell ref="A16:B16"/>
    <mergeCell ref="C16:D16"/>
    <mergeCell ref="F16:H16"/>
    <mergeCell ref="A17:B17"/>
    <mergeCell ref="C17:D17"/>
    <mergeCell ref="F17:I17"/>
    <mergeCell ref="A18:B18"/>
    <mergeCell ref="C18:D18"/>
    <mergeCell ref="E18:H18"/>
    <mergeCell ref="A19:B19"/>
    <mergeCell ref="C19:D19"/>
    <mergeCell ref="F19:H19"/>
    <mergeCell ref="A20:B20"/>
    <mergeCell ref="C20:D20"/>
    <mergeCell ref="F20:H20"/>
    <mergeCell ref="A21:B21"/>
    <mergeCell ref="C21:D21"/>
    <mergeCell ref="F21:I21"/>
    <mergeCell ref="A22:B22"/>
    <mergeCell ref="C22:D22"/>
    <mergeCell ref="E22:H22"/>
    <mergeCell ref="A23:B23"/>
    <mergeCell ref="C23:D23"/>
    <mergeCell ref="F23:H23"/>
    <mergeCell ref="A24:E24"/>
    <mergeCell ref="F24:I24"/>
    <mergeCell ref="A27:F27"/>
    <mergeCell ref="H27:I27"/>
    <mergeCell ref="A28:F28"/>
    <mergeCell ref="G28:G29"/>
    <mergeCell ref="H28:I29"/>
    <mergeCell ref="J28:J29"/>
    <mergeCell ref="A29:F29"/>
    <mergeCell ref="A32:J32"/>
    <mergeCell ref="A33:J33"/>
    <mergeCell ref="A34:J34"/>
  </mergeCells>
  <pageMargins left="0.147638" right="0.147638" top="0.206693" bottom="0.206693" header="0.0" footer="0.0"/>
  <pageSetup paperSize="9" orientation="portrait"/>
  <rowBreaks count="0" manualBreakCount="0">
    </rowBreaks>
</worksheet>
</file>