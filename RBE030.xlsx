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18855" windowHeight="11985"/>
  </bookViews>
  <sheets>
    <sheet name="Hoja 1" sheetId="1" r:id="rId1"/>
  </sheets>
  <calcPr calcId="124519"/>
</workbook>
</file>

<file path=xl/sharedStrings.xml><?xml version="1.0" encoding="utf-8"?>
<sst xmlns="http://schemas.openxmlformats.org/spreadsheetml/2006/main" count="44" uniqueCount="44">
  <si>
    <t xml:space="preserve"/>
  </si>
  <si>
    <t xml:space="preserve">RBE030</t>
  </si>
  <si>
    <t xml:space="preserve">m²</t>
  </si>
  <si>
    <t xml:space="preserve">Capa de terminación de mortero de cemento sobre capa base, en paramento exterior.</t>
  </si>
  <si>
    <r>
      <rPr>
        <sz val="8.25"/>
        <color rgb="FF000000"/>
        <rFont val="Arial"/>
        <family val="2"/>
      </rPr>
      <t xml:space="preserve">Capa de terminación de mortero de cemento, tipo GP CSIII W2, según UNE-EN 998-1, color blanco, de 5 mm de espesor, con acabado liso, aplicado manualmente, sobre capa base de mortero, en paramento exterior, vertical. El precio incluye la protección de los elementos del entorno que puedan verse afectados durante los trabajos y la resolución de puntos singulares, pero no incluye la capa base de mortero.</t>
    </r>
    <r>
      <rPr>
        <sz val="8.25"/>
        <color rgb="FF000000"/>
        <rFont val="Arial"/>
        <family val="2"/>
      </rPr>
      <t xml:space="preserve">
</t>
    </r>
  </si>
  <si>
    <t xml:space="preserve">Código</t>
  </si>
  <si>
    <t xml:space="preserve">Unidad</t>
  </si>
  <si>
    <t xml:space="preserve">Descripción</t>
  </si>
  <si>
    <t xml:space="preserve">Rendimiento</t>
  </si>
  <si>
    <r>
      <rPr>
        <b/>
        <sz val="8.25"/>
        <color rgb="FF000000"/>
        <rFont val="Arial"/>
        <family val="2"/>
      </rPr>
      <t xml:space="preserve">Precio</t>
    </r>
    <r>
      <rPr>
        <b/>
        <sz val="8.25"/>
        <color rgb="FF000000"/>
        <rFont val="Arial"/>
        <family val="2"/>
      </rPr>
      <t xml:space="preserve">
</t>
    </r>
    <r>
      <rPr>
        <b/>
        <sz val="8.25"/>
        <color rgb="FF000000"/>
        <rFont val="Arial"/>
        <family val="2"/>
      </rPr>
      <t xml:space="preserve">unitario</t>
    </r>
  </si>
  <si>
    <t xml:space="preserve">Importe</t>
  </si>
  <si>
    <t xml:space="preserve">Materiales</t>
  </si>
  <si>
    <t xml:space="preserve">mt08aaa010a</t>
  </si>
  <si>
    <t xml:space="preserve">m³</t>
  </si>
  <si>
    <t xml:space="preserve">Agua.</t>
  </si>
  <si>
    <t xml:space="preserve">mt28esc070d</t>
  </si>
  <si>
    <t xml:space="preserve">kg</t>
  </si>
  <si>
    <t xml:space="preserve">Mortero de cemento, tipo GP CSIII W2, según UNE-EN 998-1, para uso en interiores o en exteriores, color blanco, compuesto por cemento blanco, polvo de mármol, aditivos hidrofugantes y aditivos orgánicos e inorgánicos específicos, suministrado en sacos.</t>
  </si>
  <si>
    <t xml:space="preserve">mt27wav020a</t>
  </si>
  <si>
    <t xml:space="preserve">m</t>
  </si>
  <si>
    <t xml:space="preserve">Cinta adhesiva de pintor, de 25 mm de anchura.</t>
  </si>
  <si>
    <t xml:space="preserve">Subtotal materiales:</t>
  </si>
  <si>
    <t xml:space="preserve">Mano de obra</t>
  </si>
  <si>
    <t xml:space="preserve">mo039</t>
  </si>
  <si>
    <t xml:space="preserve">h</t>
  </si>
  <si>
    <t xml:space="preserve">Oficial 1ª revocador.</t>
  </si>
  <si>
    <t xml:space="preserve">mo111</t>
  </si>
  <si>
    <t xml:space="preserve">h</t>
  </si>
  <si>
    <t xml:space="preserve">Peón especializado revocador.</t>
  </si>
  <si>
    <t xml:space="preserve">Subtotal mano de obra:</t>
  </si>
  <si>
    <t xml:space="preserve">Costes directos complementarios</t>
  </si>
  <si>
    <t xml:space="preserve">%</t>
  </si>
  <si>
    <t xml:space="preserve">Costes directos complementarios</t>
  </si>
  <si>
    <t xml:space="preserve">Coste de mantenimiento decenal: 0,81€ en los primeros 10 años.</t>
  </si>
  <si>
    <r>
      <rPr>
        <b/>
        <sz val="8.25"/>
        <color rgb="FF000000"/>
        <rFont val="Arial"/>
        <family val="2"/>
      </rPr>
      <t xml:space="preserve">Costes directos</t>
    </r>
    <r>
      <rPr>
        <sz val="8.25"/>
        <color rgb="FF000000"/>
        <rFont val="Arial"/>
        <family val="2"/>
      </rPr>
      <t xml:space="preserve"> </t>
    </r>
    <r>
      <rPr>
        <sz val="8.25"/>
        <color rgb="FF000000"/>
        <rFont val="Arial"/>
        <family val="2"/>
      </rPr>
      <t xml:space="preserve">(1+2+3)</t>
    </r>
    <r>
      <rPr>
        <sz val="8.25"/>
        <color rgb="FF000000"/>
        <rFont val="Arial"/>
        <family val="2"/>
      </rPr>
      <t xml:space="preserve">:</t>
    </r>
  </si>
  <si>
    <t xml:space="preserve">Referencia y título de la norma</t>
  </si>
  <si>
    <r>
      <rPr>
        <sz val="8.25"/>
        <color rgb="FF000000"/>
        <rFont val="Arial"/>
        <family val="2"/>
      </rPr>
      <t xml:space="preserve">Aplicabilidad</t>
    </r>
    <r>
      <rPr>
        <sz val="8.25"/>
        <color rgb="FF000000"/>
        <rFont val="Arial"/>
        <family val="2"/>
      </rPr>
      <t xml:space="preserve">(a)</t>
    </r>
  </si>
  <si>
    <r>
      <rPr>
        <sz val="8.25"/>
        <color rgb="FF000000"/>
        <rFont val="Arial"/>
        <family val="2"/>
      </rPr>
      <t xml:space="preserve">Obligatoriedad</t>
    </r>
    <r>
      <rPr>
        <sz val="8.25"/>
        <color rgb="FF000000"/>
        <rFont val="Arial"/>
        <family val="2"/>
      </rPr>
      <t xml:space="preserve">(b)</t>
    </r>
  </si>
  <si>
    <r>
      <rPr>
        <sz val="8.25"/>
        <color rgb="FF000000"/>
        <rFont val="Arial"/>
        <family val="2"/>
      </rPr>
      <t xml:space="preserve">Sistema</t>
    </r>
    <r>
      <rPr>
        <sz val="8.25"/>
        <color rgb="FF000000"/>
        <rFont val="Arial"/>
        <family val="2"/>
      </rPr>
      <t xml:space="preserve">(c)</t>
    </r>
  </si>
  <si>
    <t xml:space="preserve">EN  998-1:2016</t>
  </si>
  <si>
    <t xml:space="preserve">Especificaciones de los morteros para albañilería. Parte 1: Morteros para revoco y enlucido.</t>
  </si>
  <si>
    <r>
      <rPr>
        <sz val="8.25"/>
        <color rgb="FF000000"/>
        <rFont val="Arial"/>
        <family val="2"/>
      </rPr>
      <t xml:space="preserve">(a)</t>
    </r>
    <r>
      <rPr>
        <sz val="8.25"/>
        <color rgb="FF000000"/>
        <rFont val="Arial"/>
        <family val="2"/>
      </rPr>
      <t xml:space="preserve"> </t>
    </r>
    <r>
      <rPr>
        <sz val="8.25"/>
        <color rgb="FF000000"/>
        <rFont val="Arial"/>
        <family val="2"/>
      </rPr>
      <t xml:space="preserve">Fecha de aplicabilidad de la norma armonizada</t>
    </r>
  </si>
  <si>
    <r>
      <rPr>
        <sz val="8.25"/>
        <color rgb="FF000000"/>
        <rFont val="Arial"/>
        <family val="2"/>
      </rPr>
      <t xml:space="preserve">(b)</t>
    </r>
    <r>
      <rPr>
        <sz val="8.25"/>
        <color rgb="FF000000"/>
        <rFont val="Arial"/>
        <family val="2"/>
      </rPr>
      <t xml:space="preserve"> </t>
    </r>
    <r>
      <rPr>
        <sz val="8.25"/>
        <color rgb="FF000000"/>
        <rFont val="Arial"/>
        <family val="2"/>
      </rPr>
      <t xml:space="preserve">Fecha en que finaliza el período de coexistencia</t>
    </r>
  </si>
  <si>
    <r>
      <rPr>
        <sz val="8.25"/>
        <color rgb="FF000000"/>
        <rFont val="Arial"/>
        <family val="2"/>
      </rPr>
      <t xml:space="preserve">(c)</t>
    </r>
    <r>
      <rPr>
        <sz val="8.25"/>
        <color rgb="FF000000"/>
        <rFont val="Arial"/>
        <family val="2"/>
      </rPr>
      <t xml:space="preserve"> </t>
    </r>
    <r>
      <rPr>
        <sz val="8.25"/>
        <color rgb="FF000000"/>
        <rFont val="Arial"/>
        <family val="2"/>
      </rPr>
      <t xml:space="preserve">Sistema de evaluación y verificación de la constancia de las prestaciones</t>
    </r>
  </si>
</sst>
</file>

<file path=xl/styles.xml><?xml version="1.0" encoding="utf-8"?>
<styleSheet xmlns="http://schemas.openxmlformats.org/spreadsheetml/2006/main">
  <numFmts count="2">
    <numFmt numFmtId="200" formatCode="0.000"/>
    <numFmt numFmtId="201" formatCode="0.00"/>
  </numFmts>
  <fonts count="2">
    <font>
      <sz val="8.25"/>
      <color rgb="FF000000"/>
      <name val="Arial"/>
      <family val="2"/>
    </font>
    <font>
      <b/>
      <sz val="8.25"/>
      <color rgb="FF000000"/>
      <name val="Arial"/>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2">
    <xf numFmtId="0" fontId="0" fillId="0" borderId="0" xfId="0" applyFont="1" applyAlignment="1">
      <alignment horizontal="left" vertical="center" wrapText="0"/>
    </xf>
    <xf numFmtId="0" fontId="0"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0" fillId="0" borderId="0" xfId="0" applyFont="1" applyAlignment="1">
      <alignment horizontal="justify" vertical="top" wrapText="1"/>
    </xf>
    <xf numFmtId="0" fontId="0" fillId="0" borderId="1" xfId="0" applyFont="1" applyAlignment="1">
      <alignment horizontal="left" vertical="top" wrapText="1"/>
    </xf>
    <xf numFmtId="0" fontId="0" fillId="0" borderId="2" xfId="0" applyFont="1" applyAlignment="1">
      <alignment horizontal="center" vertical="bottom" wrapText="1"/>
    </xf>
    <xf numFmtId="0" fontId="0" fillId="0" borderId="2" xfId="0" applyFont="1" applyAlignment="1">
      <alignment horizontal="right" vertical="bottom" wrapText="1"/>
    </xf>
    <xf numFmtId="0" fontId="0" fillId="0" borderId="3" xfId="0" applyFont="1" applyAlignment="1">
      <alignment horizontal="center" vertical="center" wrapText="1"/>
    </xf>
    <xf numFmtId="0" fontId="0" fillId="0" borderId="3" xfId="0" applyFont="1" applyAlignment="1">
      <alignment horizontal="left" vertical="center" wrapText="1"/>
    </xf>
    <xf numFmtId="0" fontId="0" fillId="0" borderId="0" xfId="0" applyFont="1" applyAlignment="1">
      <alignment horizontal="center" vertical="top" wrapText="1"/>
    </xf>
    <xf numFmtId="200" fontId="0" fillId="0" borderId="0" xfId="0" applyFont="1" applyAlignment="1">
      <alignment horizontal="right" vertical="top" wrapText="1"/>
    </xf>
    <xf numFmtId="201" fontId="0" fillId="0" borderId="0" xfId="0" applyFont="1" applyAlignment="1">
      <alignment horizontal="right" vertical="top" wrapText="1"/>
    </xf>
    <xf numFmtId="200" fontId="0" fillId="0" borderId="2" xfId="0" applyFont="1" applyAlignment="1">
      <alignment horizontal="right" vertical="top" wrapText="1"/>
    </xf>
    <xf numFmtId="201" fontId="0" fillId="0" borderId="2" xfId="0" applyFont="1" applyAlignment="1">
      <alignment horizontal="right" vertical="top" wrapText="1"/>
    </xf>
    <xf numFmtId="0" fontId="0" fillId="0" borderId="0" xfId="0" applyFont="1" applyAlignment="1">
      <alignment horizontal="center" vertical="center" wrapText="1"/>
    </xf>
    <xf numFmtId="201" fontId="1" fillId="0" borderId="0" xfId="0" applyFont="1" applyAlignment="1">
      <alignment horizontal="right" vertical="top" wrapText="1"/>
    </xf>
    <xf numFmtId="201" fontId="1" fillId="0" borderId="3" xfId="0" applyFont="1" applyAlignment="1">
      <alignment horizontal="right" vertical="top" wrapText="1"/>
    </xf>
    <xf numFmtId="0" fontId="0" fillId="0" borderId="0" xfId="0" applyFont="1" applyAlignment="1">
      <alignment horizontal="left" vertical="center" wrapText="1"/>
    </xf>
    <xf numFmtId="0" fontId="0" fillId="0" borderId="2" xfId="0" applyFont="1" applyAlignment="1">
      <alignment horizontal="left" vertical="top" wrapText="1"/>
    </xf>
    <xf numFmtId="0" fontId="0" fillId="0" borderId="2" xfId="0" applyFont="1" applyAlignment="1">
      <alignment horizontal="center" vertical="top" wrapText="1"/>
    </xf>
    <xf numFmtId="0" fontId="0" fillId="0" borderId="4" xfId="0" applyFont="1" applyAlignment="1">
      <alignment horizontal="left" vertical="top" wrapText="1"/>
    </xf>
    <xf numFmtId="0" fontId="0" fillId="0" borderId="5" xfId="0" applyFont="1" applyAlignment="1">
      <alignment horizontal="left" vertical="top" wrapText="1"/>
    </xf>
    <xf numFmtId="0" fontId="0" fillId="0" borderId="6" xfId="0" applyFont="1" applyAlignment="1">
      <alignment horizontal="left" vertical="top" wrapText="1"/>
    </xf>
    <xf numFmtId="0" fontId="0" fillId="0" borderId="7" xfId="0" applyFont="1" applyAlignment="1">
      <alignment horizontal="right" vertical="center" wrapText="1"/>
    </xf>
    <xf numFmtId="0" fontId="0" fillId="0" borderId="3" xfId="0" applyFont="1" applyAlignment="1">
      <alignment horizontal="right" vertical="center" wrapText="1"/>
    </xf>
    <xf numFmtId="201" fontId="0" fillId="0" borderId="3" xfId="0" applyFont="1" applyAlignment="1">
      <alignment horizontal="right" vertical="top" wrapText="1"/>
    </xf>
    <xf numFmtId="0" fontId="0" fillId="0" borderId="1" xfId="0" applyFont="1" applyAlignment="1">
      <alignment horizontal="center" vertical="center" wrapText="1"/>
    </xf>
    <xf numFmtId="0" fontId="0" fillId="0" borderId="8" xfId="0" applyFont="1" applyAlignment="1">
      <alignment horizontal="left" vertical="center" wrapText="1"/>
    </xf>
    <xf numFmtId="0" fontId="0" fillId="0" borderId="8" xfId="0" applyFont="1" applyAlignment="1">
      <alignment horizontal="center" vertical="center" wrapText="1"/>
    </xf>
    <xf numFmtId="0" fontId="0" fillId="0" borderId="9" xfId="0" applyFont="1" applyAlignment="1">
      <alignment horizontal="left" vertical="center" wrapText="1"/>
    </xf>
    <xf numFmtId="0" fontId="0" fillId="0" borderId="9"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1" Type="http://schemas.openxmlformats.org/officeDocument/2006/relationships/worksheet" Target="worksheets/sheet1.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E200"/>
  <sheetViews>
    <sheetView tabSelected="1" view="pageLayout" workbookViewId="0">
      <selection activeCell="A1" sqref="A1"/>
    </sheetView>
  </sheetViews>
  <sheetFormatPr baseColWidth="10" defaultRowHeight="15"/>
  <cols>
    <col min="1" max="1" width="7.82" customWidth="1"/>
    <col min="2" max="2" width="5.27" customWidth="1"/>
    <col min="3" max="3" width="1.02" customWidth="1"/>
    <col min="4" max="4" width="6.63" customWidth="1"/>
    <col min="5" max="5" width="71.40" customWidth="1"/>
    <col min="6" max="6" width="3.40" customWidth="1"/>
    <col min="7" max="7" width="9.52" customWidth="1"/>
    <col min="8" max="8" width="4.59" customWidth="1"/>
    <col min="9" max="9" width="9.86" customWidth="1"/>
    <col min="10" max="10" width="9.01" customWidth="1"/>
  </cols>
  <sheetData>
    <row r="1" spans="1:1" ht="2.25" thickBot="1" customHeight="1">
      <c r="A1" s="1" t="s">
        <v>0</v>
      </c>
      <c r="B1" s="1"/>
      <c r="C1" s="1"/>
      <c r="D1" s="1"/>
      <c r="E1" s="1"/>
      <c r="F1" s="1"/>
      <c r="G1" s="1"/>
      <c r="H1" s="1"/>
      <c r="I1" s="1"/>
      <c r="J1" s="1"/>
    </row>
    <row r="3" spans="1:10" ht="13.50" thickBot="1" customHeight="1">
      <c r="A3" s="2" t="s">
        <v>1</v>
      </c>
      <c r="B3" s="3" t="s">
        <v>2</v>
      </c>
      <c r="C3" s="3"/>
      <c r="D3" s="2" t="s">
        <v>3</v>
      </c>
      <c r="E3" s="2"/>
      <c r="F3" s="2"/>
      <c r="G3" s="2"/>
      <c r="H3" s="2"/>
      <c r="I3" s="2"/>
      <c r="J3" s="2"/>
    </row>
    <row r="5" spans="1:10" ht="45.00" thickBot="1" customHeight="1">
      <c r="A5" s="5" t="s">
        <v>4</v>
      </c>
      <c r="B5" s="5"/>
      <c r="C5" s="5"/>
      <c r="D5" s="5"/>
      <c r="E5" s="5"/>
      <c r="F5" s="5"/>
      <c r="G5" s="5"/>
      <c r="H5" s="5"/>
      <c r="I5" s="5"/>
      <c r="J5" s="5"/>
    </row>
    <row r="8" spans="1:10" ht="24.00" thickBot="1" customHeight="1">
      <c r="A8" s="6" t="s">
        <v>5</v>
      </c>
      <c r="B8" s="6"/>
      <c r="C8" s="6" t="s">
        <v>6</v>
      </c>
      <c r="D8" s="6"/>
      <c r="E8" s="6" t="s">
        <v>7</v>
      </c>
      <c r="F8" s="6"/>
      <c r="G8" s="7" t="s">
        <v>8</v>
      </c>
      <c r="H8" s="7"/>
      <c r="I8" s="7" t="s">
        <v>9</v>
      </c>
      <c r="J8" s="7" t="s">
        <v>10</v>
      </c>
    </row>
    <row r="9" spans="1:10" ht="13.50" thickBot="1" customHeight="1">
      <c r="A9" s="8">
        <v>1</v>
      </c>
      <c r="B9" s="8"/>
      <c r="C9" s="8"/>
      <c r="D9" s="8"/>
      <c r="E9" s="9" t="s">
        <v>11</v>
      </c>
      <c r="F9" s="9"/>
      <c r="G9" s="9"/>
      <c r="H9" s="9"/>
      <c r="I9" s="8"/>
      <c r="J9" s="8"/>
    </row>
    <row r="10" spans="1:10" ht="13.50" thickBot="1" customHeight="1">
      <c r="A10" s="1" t="s">
        <v>12</v>
      </c>
      <c r="B10" s="1"/>
      <c r="C10" s="10" t="s">
        <v>13</v>
      </c>
      <c r="D10" s="10"/>
      <c r="E10" s="1" t="s">
        <v>14</v>
      </c>
      <c r="F10" s="1"/>
      <c r="G10" s="11">
        <v>0.005</v>
      </c>
      <c r="H10" s="11"/>
      <c r="I10" s="12">
        <v>1.5</v>
      </c>
      <c r="J10" s="12">
        <f ca="1">ROUND(INDIRECT(ADDRESS(ROW()+(0), COLUMN()+(-3), 1))*INDIRECT(ADDRESS(ROW()+(0), COLUMN()+(-1), 1)), 2)</f>
        <v>0.01</v>
      </c>
    </row>
    <row r="11" spans="1:10" ht="34.50" thickBot="1" customHeight="1">
      <c r="A11" s="1" t="s">
        <v>15</v>
      </c>
      <c r="B11" s="1"/>
      <c r="C11" s="10" t="s">
        <v>16</v>
      </c>
      <c r="D11" s="10"/>
      <c r="E11" s="1" t="s">
        <v>17</v>
      </c>
      <c r="F11" s="1"/>
      <c r="G11" s="11">
        <v>8.5</v>
      </c>
      <c r="H11" s="11"/>
      <c r="I11" s="12">
        <v>0.23</v>
      </c>
      <c r="J11" s="12">
        <f ca="1">ROUND(INDIRECT(ADDRESS(ROW()+(0), COLUMN()+(-3), 1))*INDIRECT(ADDRESS(ROW()+(0), COLUMN()+(-1), 1)), 2)</f>
        <v>1.96</v>
      </c>
    </row>
    <row r="12" spans="1:10" ht="13.50" thickBot="1" customHeight="1">
      <c r="A12" s="1" t="s">
        <v>18</v>
      </c>
      <c r="B12" s="1"/>
      <c r="C12" s="10" t="s">
        <v>19</v>
      </c>
      <c r="D12" s="10"/>
      <c r="E12" s="1" t="s">
        <v>20</v>
      </c>
      <c r="F12" s="1"/>
      <c r="G12" s="13">
        <v>1</v>
      </c>
      <c r="H12" s="13"/>
      <c r="I12" s="14">
        <v>0.1</v>
      </c>
      <c r="J12" s="14">
        <f ca="1">ROUND(INDIRECT(ADDRESS(ROW()+(0), COLUMN()+(-3), 1))*INDIRECT(ADDRESS(ROW()+(0), COLUMN()+(-1), 1)), 2)</f>
        <v>0.1</v>
      </c>
    </row>
    <row r="13" spans="1:10" ht="13.50" thickBot="1" customHeight="1">
      <c r="A13" s="15"/>
      <c r="B13" s="15"/>
      <c r="C13" s="15"/>
      <c r="D13" s="15"/>
      <c r="E13" s="15"/>
      <c r="F13" s="15"/>
      <c r="G13" s="9" t="s">
        <v>21</v>
      </c>
      <c r="H13" s="9"/>
      <c r="I13" s="9"/>
      <c r="J13" s="17">
        <f ca="1">ROUND(SUM(INDIRECT(ADDRESS(ROW()+(-1), COLUMN()+(0), 1)),INDIRECT(ADDRESS(ROW()+(-2), COLUMN()+(0), 1)),INDIRECT(ADDRESS(ROW()+(-3), COLUMN()+(0), 1))), 2)</f>
        <v>2.07</v>
      </c>
    </row>
    <row r="14" spans="1:10" ht="13.50" thickBot="1" customHeight="1">
      <c r="A14" s="15">
        <v>2</v>
      </c>
      <c r="B14" s="15"/>
      <c r="C14" s="15"/>
      <c r="D14" s="15"/>
      <c r="E14" s="18" t="s">
        <v>22</v>
      </c>
      <c r="F14" s="18"/>
      <c r="G14" s="18"/>
      <c r="H14" s="18"/>
      <c r="I14" s="15"/>
      <c r="J14" s="15"/>
    </row>
    <row r="15" spans="1:10" ht="13.50" thickBot="1" customHeight="1">
      <c r="A15" s="1" t="s">
        <v>23</v>
      </c>
      <c r="B15" s="1"/>
      <c r="C15" s="10" t="s">
        <v>24</v>
      </c>
      <c r="D15" s="10"/>
      <c r="E15" s="1" t="s">
        <v>25</v>
      </c>
      <c r="F15" s="1"/>
      <c r="G15" s="11">
        <v>0.537</v>
      </c>
      <c r="H15" s="11"/>
      <c r="I15" s="12">
        <v>24.41</v>
      </c>
      <c r="J15" s="12">
        <f ca="1">ROUND(INDIRECT(ADDRESS(ROW()+(0), COLUMN()+(-3), 1))*INDIRECT(ADDRESS(ROW()+(0), COLUMN()+(-1), 1)), 2)</f>
        <v>13.11</v>
      </c>
    </row>
    <row r="16" spans="1:10" ht="13.50" thickBot="1" customHeight="1">
      <c r="A16" s="1" t="s">
        <v>26</v>
      </c>
      <c r="B16" s="1"/>
      <c r="C16" s="10" t="s">
        <v>27</v>
      </c>
      <c r="D16" s="10"/>
      <c r="E16" s="1" t="s">
        <v>28</v>
      </c>
      <c r="F16" s="1"/>
      <c r="G16" s="13">
        <v>0.275</v>
      </c>
      <c r="H16" s="13"/>
      <c r="I16" s="14">
        <v>23.91</v>
      </c>
      <c r="J16" s="14">
        <f ca="1">ROUND(INDIRECT(ADDRESS(ROW()+(0), COLUMN()+(-3), 1))*INDIRECT(ADDRESS(ROW()+(0), COLUMN()+(-1), 1)), 2)</f>
        <v>6.58</v>
      </c>
    </row>
    <row r="17" spans="1:10" ht="13.50" thickBot="1" customHeight="1">
      <c r="A17" s="15"/>
      <c r="B17" s="15"/>
      <c r="C17" s="15"/>
      <c r="D17" s="15"/>
      <c r="E17" s="15"/>
      <c r="F17" s="15"/>
      <c r="G17" s="9" t="s">
        <v>29</v>
      </c>
      <c r="H17" s="9"/>
      <c r="I17" s="9"/>
      <c r="J17" s="17">
        <f ca="1">ROUND(SUM(INDIRECT(ADDRESS(ROW()+(-1), COLUMN()+(0), 1)),INDIRECT(ADDRESS(ROW()+(-2), COLUMN()+(0), 1))), 2)</f>
        <v>19.69</v>
      </c>
    </row>
    <row r="18" spans="1:10" ht="13.50" thickBot="1" customHeight="1">
      <c r="A18" s="15">
        <v>3</v>
      </c>
      <c r="B18" s="15"/>
      <c r="C18" s="15"/>
      <c r="D18" s="15"/>
      <c r="E18" s="18" t="s">
        <v>30</v>
      </c>
      <c r="F18" s="18"/>
      <c r="G18" s="18"/>
      <c r="H18" s="18"/>
      <c r="I18" s="15"/>
      <c r="J18" s="15"/>
    </row>
    <row r="19" spans="1:10" ht="13.50" thickBot="1" customHeight="1">
      <c r="A19" s="19"/>
      <c r="B19" s="19"/>
      <c r="C19" s="20" t="s">
        <v>31</v>
      </c>
      <c r="D19" s="20"/>
      <c r="E19" s="19" t="s">
        <v>32</v>
      </c>
      <c r="F19" s="19"/>
      <c r="G19" s="13">
        <v>4</v>
      </c>
      <c r="H19" s="13"/>
      <c r="I19" s="14">
        <f ca="1">ROUND(SUM(INDIRECT(ADDRESS(ROW()+(-2), COLUMN()+(1), 1)),INDIRECT(ADDRESS(ROW()+(-6), COLUMN()+(1), 1))), 2)</f>
        <v>21.76</v>
      </c>
      <c r="J19" s="14">
        <f ca="1">ROUND(INDIRECT(ADDRESS(ROW()+(0), COLUMN()+(-3), 1))*INDIRECT(ADDRESS(ROW()+(0), COLUMN()+(-1), 1))/100, 2)</f>
        <v>0.87</v>
      </c>
    </row>
    <row r="20" spans="1:10" ht="13.50" thickBot="1" customHeight="1">
      <c r="A20" s="21" t="s">
        <v>33</v>
      </c>
      <c r="B20" s="21"/>
      <c r="C20" s="22"/>
      <c r="D20" s="22"/>
      <c r="E20" s="23"/>
      <c r="F20" s="23"/>
      <c r="G20" s="24" t="s">
        <v>34</v>
      </c>
      <c r="H20" s="24"/>
      <c r="I20" s="25"/>
      <c r="J20" s="26">
        <f ca="1">ROUND(SUM(INDIRECT(ADDRESS(ROW()+(-1), COLUMN()+(0), 1)),INDIRECT(ADDRESS(ROW()+(-3), COLUMN()+(0), 1)),INDIRECT(ADDRESS(ROW()+(-7), COLUMN()+(0), 1))), 2)</f>
        <v>22.63</v>
      </c>
    </row>
    <row r="23" spans="1:10" ht="13.50" thickBot="1" customHeight="1">
      <c r="A23" s="27" t="s">
        <v>35</v>
      </c>
      <c r="B23" s="27"/>
      <c r="C23" s="27"/>
      <c r="D23" s="27"/>
      <c r="E23" s="27"/>
      <c r="F23" s="27" t="s">
        <v>36</v>
      </c>
      <c r="G23" s="27"/>
      <c r="H23" s="27" t="s">
        <v>37</v>
      </c>
      <c r="I23" s="27"/>
      <c r="J23" s="27" t="s">
        <v>38</v>
      </c>
    </row>
    <row r="24" spans="1:10" ht="13.50" thickBot="1" customHeight="1">
      <c r="A24" s="28" t="s">
        <v>39</v>
      </c>
      <c r="B24" s="28"/>
      <c r="C24" s="28"/>
      <c r="D24" s="28"/>
      <c r="E24" s="28"/>
      <c r="F24" s="29">
        <v>1.18202e+06</v>
      </c>
      <c r="G24" s="29"/>
      <c r="H24" s="29">
        <v>1.18202e+06</v>
      </c>
      <c r="I24" s="29"/>
      <c r="J24" s="29">
        <v>4</v>
      </c>
    </row>
    <row r="25" spans="1:10" ht="13.50" thickBot="1" customHeight="1">
      <c r="A25" s="30" t="s">
        <v>40</v>
      </c>
      <c r="B25" s="30"/>
      <c r="C25" s="30"/>
      <c r="D25" s="30"/>
      <c r="E25" s="30"/>
      <c r="F25" s="31"/>
      <c r="G25" s="31"/>
      <c r="H25" s="31"/>
      <c r="I25" s="31"/>
      <c r="J25" s="31"/>
    </row>
    <row r="28" spans="1:1" ht="33.75" thickBot="1" customHeight="1">
      <c r="A28" s="1" t="s">
        <v>41</v>
      </c>
      <c r="B28" s="1"/>
      <c r="C28" s="1"/>
      <c r="D28" s="1"/>
      <c r="E28" s="1"/>
      <c r="F28" s="1"/>
      <c r="G28" s="1"/>
      <c r="H28" s="1"/>
      <c r="I28" s="1"/>
      <c r="J28" s="1"/>
    </row>
    <row r="29" spans="1:1" ht="33.75" thickBot="1" customHeight="1">
      <c r="A29" s="1" t="s">
        <v>42</v>
      </c>
      <c r="B29" s="1"/>
      <c r="C29" s="1"/>
      <c r="D29" s="1"/>
      <c r="E29" s="1"/>
      <c r="F29" s="1"/>
      <c r="G29" s="1"/>
      <c r="H29" s="1"/>
      <c r="I29" s="1"/>
      <c r="J29" s="1"/>
    </row>
    <row r="30" spans="1:1" ht="33.75" thickBot="1" customHeight="1">
      <c r="A30" s="1" t="s">
        <v>43</v>
      </c>
      <c r="B30" s="1"/>
      <c r="C30" s="1"/>
      <c r="D30" s="1"/>
      <c r="E30" s="1"/>
      <c r="F30" s="1"/>
      <c r="G30" s="1"/>
      <c r="H30" s="1"/>
      <c r="I30" s="1"/>
      <c r="J30" s="1"/>
    </row>
  </sheetData>
  <mergeCells count="62">
    <mergeCell ref="A1:J1"/>
    <mergeCell ref="B3:C3"/>
    <mergeCell ref="D3:J3"/>
    <mergeCell ref="A5:J5"/>
    <mergeCell ref="A8:B8"/>
    <mergeCell ref="C8:D8"/>
    <mergeCell ref="E8:F8"/>
    <mergeCell ref="G8:H8"/>
    <mergeCell ref="A9:B9"/>
    <mergeCell ref="C9:D9"/>
    <mergeCell ref="E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I13"/>
    <mergeCell ref="A14:B14"/>
    <mergeCell ref="C14:D14"/>
    <mergeCell ref="E14:H14"/>
    <mergeCell ref="A15:B15"/>
    <mergeCell ref="C15:D15"/>
    <mergeCell ref="E15:F15"/>
    <mergeCell ref="G15:H15"/>
    <mergeCell ref="A16:B16"/>
    <mergeCell ref="C16:D16"/>
    <mergeCell ref="E16:F16"/>
    <mergeCell ref="G16:H16"/>
    <mergeCell ref="A17:B17"/>
    <mergeCell ref="C17:D17"/>
    <mergeCell ref="E17:F17"/>
    <mergeCell ref="G17:I17"/>
    <mergeCell ref="A18:B18"/>
    <mergeCell ref="C18:D18"/>
    <mergeCell ref="E18:H18"/>
    <mergeCell ref="A19:B19"/>
    <mergeCell ref="C19:D19"/>
    <mergeCell ref="E19:F19"/>
    <mergeCell ref="G19:H19"/>
    <mergeCell ref="A20:F20"/>
    <mergeCell ref="G20:I20"/>
    <mergeCell ref="A23:E23"/>
    <mergeCell ref="F23:G23"/>
    <mergeCell ref="H23:I23"/>
    <mergeCell ref="A24:E24"/>
    <mergeCell ref="F24:G25"/>
    <mergeCell ref="H24:I25"/>
    <mergeCell ref="J24:J25"/>
    <mergeCell ref="A25:E25"/>
    <mergeCell ref="A28:J28"/>
    <mergeCell ref="A29:J29"/>
    <mergeCell ref="A30:J30"/>
  </mergeCells>
  <pageMargins left="0.147638" right="0.147638" top="0.206693" bottom="0.206693" header="0.0" footer="0.0"/>
  <pageSetup paperSize="9" orientation="portrait"/>
  <rowBreaks count="0" manualBreakCount="0">
    </rowBreaks>
</worksheet>
</file>